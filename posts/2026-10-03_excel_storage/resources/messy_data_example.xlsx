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Documents\01_Life\Professional\git_website\LouisMPenrod.github.io\posts\2026-10-03_excel_storage\resources\"/>
    </mc:Choice>
  </mc:AlternateContent>
  <xr:revisionPtr revIDLastSave="0" documentId="13_ncr:1_{5F378070-7909-4EBE-BFB6-D25668277ABD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Field Data FINAL v3" sheetId="1" r:id="rId1"/>
  </sheets>
  <calcPr calcId="18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O32" i="1" l="1"/>
  <c r="N32" i="1"/>
  <c r="M32" i="1"/>
  <c r="L32" i="1"/>
  <c r="K32" i="1"/>
  <c r="J32" i="1"/>
  <c r="I32" i="1"/>
  <c r="H32" i="1"/>
  <c r="G32" i="1"/>
  <c r="F32" i="1"/>
  <c r="E32" i="1"/>
  <c r="D32" i="1"/>
  <c r="O31" i="1"/>
  <c r="N31" i="1"/>
  <c r="M31" i="1"/>
  <c r="L31" i="1"/>
  <c r="U16" i="1" s="1"/>
  <c r="K31" i="1"/>
  <c r="J31" i="1"/>
  <c r="I31" i="1"/>
  <c r="H31" i="1"/>
  <c r="T16" i="1" s="1"/>
  <c r="G31" i="1"/>
  <c r="F31" i="1"/>
  <c r="E31" i="1"/>
  <c r="D31" i="1"/>
  <c r="S16" i="1" s="1"/>
  <c r="O26" i="1"/>
  <c r="N26" i="1"/>
  <c r="M26" i="1"/>
  <c r="L26" i="1"/>
  <c r="K26" i="1"/>
  <c r="J26" i="1"/>
  <c r="I26" i="1"/>
  <c r="H26" i="1"/>
  <c r="G26" i="1"/>
  <c r="F26" i="1"/>
  <c r="E26" i="1"/>
  <c r="D26" i="1"/>
  <c r="O25" i="1"/>
  <c r="N25" i="1"/>
  <c r="M25" i="1"/>
  <c r="L25" i="1"/>
  <c r="K25" i="1"/>
  <c r="J25" i="1"/>
  <c r="I25" i="1"/>
  <c r="H25" i="1"/>
  <c r="G25" i="1"/>
  <c r="F25" i="1"/>
  <c r="E25" i="1"/>
  <c r="D25" i="1"/>
  <c r="O24" i="1"/>
  <c r="N24" i="1"/>
  <c r="M24" i="1"/>
  <c r="L24" i="1"/>
  <c r="K24" i="1"/>
  <c r="J24" i="1"/>
  <c r="I24" i="1"/>
  <c r="H24" i="1"/>
  <c r="G24" i="1"/>
  <c r="F24" i="1"/>
  <c r="E24" i="1"/>
  <c r="D24" i="1"/>
  <c r="O23" i="1"/>
  <c r="N23" i="1"/>
  <c r="M23" i="1"/>
  <c r="L23" i="1"/>
  <c r="K23" i="1"/>
  <c r="J23" i="1"/>
  <c r="I23" i="1"/>
  <c r="H23" i="1"/>
  <c r="G23" i="1"/>
  <c r="F23" i="1"/>
  <c r="E23" i="1"/>
  <c r="D23" i="1"/>
  <c r="S15" i="1" s="1"/>
  <c r="O18" i="1"/>
  <c r="N18" i="1"/>
  <c r="M18" i="1"/>
  <c r="L18" i="1"/>
  <c r="K18" i="1"/>
  <c r="J18" i="1"/>
  <c r="I18" i="1"/>
  <c r="H18" i="1"/>
  <c r="G18" i="1"/>
  <c r="F18" i="1"/>
  <c r="E18" i="1"/>
  <c r="D18" i="1"/>
  <c r="O17" i="1"/>
  <c r="N17" i="1"/>
  <c r="M17" i="1"/>
  <c r="L17" i="1"/>
  <c r="U14" i="1" s="1"/>
  <c r="K17" i="1"/>
  <c r="J17" i="1"/>
  <c r="I17" i="1"/>
  <c r="H17" i="1"/>
  <c r="T14" i="1" s="1"/>
  <c r="G17" i="1"/>
  <c r="F17" i="1"/>
  <c r="E17" i="1"/>
  <c r="D17" i="1"/>
  <c r="S14" i="1" s="1"/>
  <c r="O12" i="1"/>
  <c r="N12" i="1"/>
  <c r="M12" i="1"/>
  <c r="L12" i="1"/>
  <c r="K12" i="1"/>
  <c r="J12" i="1"/>
  <c r="I12" i="1"/>
  <c r="H12" i="1"/>
  <c r="G12" i="1"/>
  <c r="F12" i="1"/>
  <c r="E12" i="1"/>
  <c r="D12" i="1"/>
  <c r="O11" i="1"/>
  <c r="O36" i="1" s="1"/>
  <c r="N11" i="1"/>
  <c r="M11" i="1"/>
  <c r="L11" i="1"/>
  <c r="U13" i="1" s="1"/>
  <c r="K11" i="1"/>
  <c r="J11" i="1"/>
  <c r="I11" i="1"/>
  <c r="H11" i="1"/>
  <c r="T13" i="1" s="1"/>
  <c r="G11" i="1"/>
  <c r="F11" i="1"/>
  <c r="F35" i="1" s="1"/>
  <c r="E11" i="1"/>
  <c r="D11" i="1"/>
  <c r="S13" i="1" s="1"/>
  <c r="F36" i="1" l="1"/>
  <c r="F34" i="1"/>
  <c r="E35" i="1"/>
  <c r="E36" i="1"/>
  <c r="E34" i="1"/>
  <c r="D35" i="1"/>
  <c r="D34" i="1"/>
  <c r="D36" i="1"/>
  <c r="O34" i="1"/>
  <c r="O35" i="1"/>
  <c r="N36" i="1"/>
  <c r="N35" i="1"/>
  <c r="N34" i="1"/>
  <c r="M35" i="1"/>
  <c r="M36" i="1"/>
  <c r="M34" i="1"/>
  <c r="U15" i="1"/>
  <c r="L36" i="1"/>
  <c r="L35" i="1"/>
  <c r="L34" i="1"/>
  <c r="K34" i="1"/>
  <c r="K35" i="1"/>
  <c r="K36" i="1"/>
  <c r="J35" i="1"/>
  <c r="J34" i="1"/>
  <c r="J36" i="1"/>
  <c r="I35" i="1"/>
  <c r="I34" i="1"/>
  <c r="I36" i="1"/>
  <c r="H35" i="1"/>
  <c r="H36" i="1"/>
  <c r="H34" i="1"/>
  <c r="T15" i="1"/>
  <c r="G36" i="1"/>
  <c r="G34" i="1"/>
  <c r="G35" i="1"/>
</calcChain>
</file>

<file path=xl/sharedStrings.xml><?xml version="1.0" encoding="utf-8"?>
<sst xmlns="http://schemas.openxmlformats.org/spreadsheetml/2006/main" count="109" uniqueCount="71">
  <si>
    <t>Greenhouse Growth Trial - Summer 2023</t>
  </si>
  <si>
    <t>Treatment
Group</t>
  </si>
  <si>
    <t>Plant
ID</t>
  </si>
  <si>
    <t>Date
Planted</t>
  </si>
  <si>
    <t>Week 1</t>
  </si>
  <si>
    <t>Week 2</t>
  </si>
  <si>
    <t>Week 3</t>
  </si>
  <si>
    <t>Greenhouse Conditions</t>
  </si>
  <si>
    <t>Size</t>
  </si>
  <si>
    <t>Foliage</t>
  </si>
  <si>
    <t>Week</t>
  </si>
  <si>
    <t>Avg Temp (F)</t>
  </si>
  <si>
    <t>Humidity %</t>
  </si>
  <si>
    <t>Watered?</t>
  </si>
  <si>
    <t>Height
(cm)</t>
  </si>
  <si>
    <t>Width
(cm)</t>
  </si>
  <si>
    <t># of
Leaves</t>
  </si>
  <si>
    <t>%
Yellow</t>
  </si>
  <si>
    <t>yes</t>
  </si>
  <si>
    <t>Control</t>
  </si>
  <si>
    <t>P01</t>
  </si>
  <si>
    <t>~12</t>
  </si>
  <si>
    <t>N</t>
  </si>
  <si>
    <t>P02</t>
  </si>
  <si>
    <t>Yes</t>
  </si>
  <si>
    <t>P03</t>
  </si>
  <si>
    <t>5.9*</t>
  </si>
  <si>
    <t>missing</t>
  </si>
  <si>
    <t>wilted wk2</t>
  </si>
  <si>
    <t>P04</t>
  </si>
  <si>
    <t>10.2 cm</t>
  </si>
  <si>
    <t>Mean</t>
  </si>
  <si>
    <t>Mean Height for graph</t>
  </si>
  <si>
    <t>SD</t>
  </si>
  <si>
    <t>Group</t>
  </si>
  <si>
    <t>Fertilizer A</t>
  </si>
  <si>
    <t>P05</t>
  </si>
  <si>
    <t>.</t>
  </si>
  <si>
    <t>8.3 cm</t>
  </si>
  <si>
    <t>P06</t>
  </si>
  <si>
    <t>NA</t>
  </si>
  <si>
    <t>re-measured</t>
  </si>
  <si>
    <t>P07</t>
  </si>
  <si>
    <t>Fertilizer B</t>
  </si>
  <si>
    <t>P08</t>
  </si>
  <si>
    <t>Shade</t>
  </si>
  <si>
    <t>P09</t>
  </si>
  <si>
    <t>15.0**</t>
  </si>
  <si>
    <t>P10</t>
  </si>
  <si>
    <t>pot cracked</t>
  </si>
  <si>
    <t>P11</t>
  </si>
  <si>
    <t>n/a</t>
  </si>
  <si>
    <t>P12</t>
  </si>
  <si>
    <t>~24</t>
  </si>
  <si>
    <t>All Fertilizer</t>
  </si>
  <si>
    <t>P13</t>
  </si>
  <si>
    <t>??</t>
  </si>
  <si>
    <t>P14</t>
  </si>
  <si>
    <t>3.3*</t>
  </si>
  <si>
    <t>~8</t>
  </si>
  <si>
    <t>P15</t>
  </si>
  <si>
    <t>~11</t>
  </si>
  <si>
    <t>moved to bench 2</t>
  </si>
  <si>
    <t>P16</t>
  </si>
  <si>
    <t>ALL PLANTS</t>
  </si>
  <si>
    <t>Max</t>
  </si>
  <si>
    <t>* plant was knocked over, measured anyway</t>
  </si>
  <si>
    <t>** may be a typo, check notebook</t>
  </si>
  <si>
    <t>Yellow = recheck. Strikethrough = maybe exclude?</t>
  </si>
  <si>
    <t>Shade plants were moved 05/20 (see notes)</t>
  </si>
  <si>
    <t>Data entered by: J. Smith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</si>
</sst>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0.0"/>
  </numFmts>
  <fonts count="11" x14ac:knownFonts="1">
    <font>
      <sz val="11"/>
      <color theme="1"/>
      <name val="Calibri"/>
      <family val="2"/>
      <charset val="1"/>
    </font>
    <font>
      <b/>
      <sz val="18"/>
      <color rgb="FF7030A0"/>
      <name val="Comic Sans MS"/>
      <charset val="1"/>
    </font>
    <font>
      <i/>
      <sz val="11"/>
      <name val="Comic Sans MS"/>
      <charset val="1"/>
    </font>
    <font>
      <b/>
      <sz val="11"/>
      <name val="Comic Sans MS"/>
      <charset val="1"/>
    </font>
    <font>
      <b/>
      <sz val="13"/>
      <name val="Comic Sans MS"/>
      <charset val="1"/>
    </font>
    <font>
      <sz val="11"/>
      <name val="Comic Sans MS"/>
      <charset val="1"/>
    </font>
    <font>
      <i/>
      <sz val="11"/>
      <color rgb="FF0070C0"/>
      <name val="Comic Sans MS"/>
      <charset val="1"/>
    </font>
    <font>
      <b/>
      <i/>
      <sz val="11"/>
      <name val="Comic Sans MS"/>
      <charset val="1"/>
    </font>
    <font>
      <b/>
      <sz val="11"/>
      <color rgb="FFFF0000"/>
      <name val="Comic Sans MS"/>
      <charset val="1"/>
    </font>
    <font>
      <strike/>
      <sz val="11"/>
      <name val="Comic Sans MS"/>
      <charset val="1"/>
    </font>
    <font>
      <i/>
      <sz val="9"/>
      <name val="Comic Sans MS"/>
      <charset val="1"/>
    </font>
  </fonts>
  <fills count="8">
    <fill>
      <patternFill patternType="none"/>
    </fill>
    <fill>
      <patternFill patternType="gray125"/>
    </fill>
    <fill>
      <patternFill patternType="solid">
        <fgColor rgb="FFBDD7EE"/>
        <bgColor rgb="FFD9D9D9"/>
      </patternFill>
    </fill>
    <fill>
      <patternFill patternType="solid">
        <fgColor rgb="FFFCE4D6"/>
        <bgColor rgb="FFEDEDED"/>
      </patternFill>
    </fill>
    <fill>
      <patternFill patternType="solid">
        <fgColor rgb="FFEDEDED"/>
        <bgColor rgb="FFFCE4D6"/>
      </patternFill>
    </fill>
    <fill>
      <patternFill patternType="solid">
        <fgColor rgb="FFFFFF00"/>
        <bgColor rgb="FFFFFF00"/>
      </patternFill>
    </fill>
    <fill>
      <patternFill patternType="solid">
        <fgColor rgb="FFFFC7CE"/>
        <bgColor rgb="FFFCE4D6"/>
      </patternFill>
    </fill>
    <fill>
      <patternFill patternType="solid">
        <fgColor rgb="FFC6EFCE"/>
        <bgColor rgb="FFD9D9D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5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/>
    <xf numFmtId="0" fontId="3" fillId="2" borderId="1" xfId="0" applyFont="1" applyFill="1" applyBorder="1"/>
    <xf numFmtId="0" fontId="5" fillId="0" borderId="1" xfId="0" applyFont="1" applyBorder="1"/>
    <xf numFmtId="164" fontId="5" fillId="0" borderId="1" xfId="0" applyNumberFormat="1" applyFont="1" applyBorder="1"/>
    <xf numFmtId="0" fontId="6" fillId="0" borderId="1" xfId="0" applyFont="1" applyBorder="1"/>
    <xf numFmtId="0" fontId="7" fillId="4" borderId="1" xfId="0" applyFont="1" applyFill="1" applyBorder="1"/>
    <xf numFmtId="165" fontId="7" fillId="4" borderId="1" xfId="0" applyNumberFormat="1" applyFont="1" applyFill="1" applyBorder="1"/>
    <xf numFmtId="0" fontId="5" fillId="5" borderId="1" xfId="0" applyFont="1" applyFill="1" applyBorder="1"/>
    <xf numFmtId="164" fontId="5" fillId="5" borderId="1" xfId="0" applyNumberFormat="1" applyFont="1" applyFill="1" applyBorder="1"/>
    <xf numFmtId="0" fontId="5" fillId="0" borderId="0" xfId="0" applyFont="1"/>
    <xf numFmtId="165" fontId="5" fillId="0" borderId="0" xfId="0" applyNumberFormat="1" applyFont="1"/>
    <xf numFmtId="0" fontId="5" fillId="6" borderId="1" xfId="0" applyFont="1" applyFill="1" applyBorder="1"/>
    <xf numFmtId="0" fontId="8" fillId="0" borderId="1" xfId="0" applyFont="1" applyBorder="1"/>
    <xf numFmtId="0" fontId="9" fillId="0" borderId="1" xfId="0" applyFont="1" applyBorder="1"/>
    <xf numFmtId="164" fontId="9" fillId="0" borderId="1" xfId="0" applyNumberFormat="1" applyFont="1" applyBorder="1"/>
    <xf numFmtId="0" fontId="5" fillId="7" borderId="1" xfId="0" applyFont="1" applyFill="1" applyBorder="1"/>
    <xf numFmtId="0" fontId="3" fillId="5" borderId="1" xfId="0" applyFont="1" applyFill="1" applyBorder="1"/>
    <xf numFmtId="165" fontId="3" fillId="5" borderId="1" xfId="0" applyNumberFormat="1" applyFont="1" applyFill="1" applyBorder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EDEDED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7030A0"/>
      <rgbColor rgb="FFFCE4D6"/>
      <rgbColor rgb="FFCCFFFF"/>
      <rgbColor rgb="FF660066"/>
      <rgbColor rgb="FFFF8080"/>
      <rgbColor rgb="FF0070C0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BBB59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C0504D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Mean Height by Week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'Field Data FINAL v3'!$S$12</c:f>
              <c:strCache>
                <c:ptCount val="1"/>
                <c:pt idx="0">
                  <c:v>Week 1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'Field Data FINAL v3'!$R$13:$R$16</c:f>
              <c:strCache>
                <c:ptCount val="4"/>
                <c:pt idx="0">
                  <c:v>Control</c:v>
                </c:pt>
                <c:pt idx="1">
                  <c:v>Fertilizer A</c:v>
                </c:pt>
                <c:pt idx="2">
                  <c:v>Fertilizer B</c:v>
                </c:pt>
                <c:pt idx="3">
                  <c:v>Shade</c:v>
                </c:pt>
              </c:strCache>
            </c:strRef>
          </c:cat>
          <c:val>
            <c:numRef>
              <c:f>'Field Data FINAL v3'!$S$13:$S$16</c:f>
              <c:numCache>
                <c:formatCode>0.0</c:formatCode>
                <c:ptCount val="4"/>
                <c:pt idx="0">
                  <c:v>-20.349999999999998</c:v>
                </c:pt>
                <c:pt idx="1">
                  <c:v>6</c:v>
                </c:pt>
                <c:pt idx="2">
                  <c:v>7.85</c:v>
                </c:pt>
                <c:pt idx="3">
                  <c:v>4.2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63-4D7E-B51B-57148CF6D8B3}"/>
            </c:ext>
          </c:extLst>
        </c:ser>
        <c:ser>
          <c:idx val="1"/>
          <c:order val="1"/>
          <c:tx>
            <c:strRef>
              <c:f>'Field Data FINAL v3'!$T$12</c:f>
              <c:strCache>
                <c:ptCount val="1"/>
                <c:pt idx="0">
                  <c:v>Week 2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'Field Data FINAL v3'!$R$13:$R$16</c:f>
              <c:strCache>
                <c:ptCount val="4"/>
                <c:pt idx="0">
                  <c:v>Control</c:v>
                </c:pt>
                <c:pt idx="1">
                  <c:v>Fertilizer A</c:v>
                </c:pt>
                <c:pt idx="2">
                  <c:v>Fertilizer B</c:v>
                </c:pt>
                <c:pt idx="3">
                  <c:v>Shade</c:v>
                </c:pt>
              </c:strCache>
            </c:strRef>
          </c:cat>
          <c:val>
            <c:numRef>
              <c:f>'Field Data FINAL v3'!$T$13:$T$16</c:f>
              <c:numCache>
                <c:formatCode>0.0</c:formatCode>
                <c:ptCount val="4"/>
                <c:pt idx="0">
                  <c:v>9.6750000000000007</c:v>
                </c:pt>
                <c:pt idx="1">
                  <c:v>11.775000000000002</c:v>
                </c:pt>
                <c:pt idx="2">
                  <c:v>231.60000000000002</c:v>
                </c:pt>
                <c:pt idx="3">
                  <c:v>6.65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63-4D7E-B51B-57148CF6D8B3}"/>
            </c:ext>
          </c:extLst>
        </c:ser>
        <c:ser>
          <c:idx val="2"/>
          <c:order val="2"/>
          <c:tx>
            <c:strRef>
              <c:f>'Field Data FINAL v3'!$U$12</c:f>
              <c:strCache>
                <c:ptCount val="1"/>
                <c:pt idx="0">
                  <c:v>Week 3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'Field Data FINAL v3'!$R$13:$R$16</c:f>
              <c:strCache>
                <c:ptCount val="4"/>
                <c:pt idx="0">
                  <c:v>Control</c:v>
                </c:pt>
                <c:pt idx="1">
                  <c:v>Fertilizer A</c:v>
                </c:pt>
                <c:pt idx="2">
                  <c:v>Fertilizer B</c:v>
                </c:pt>
                <c:pt idx="3">
                  <c:v>Shade</c:v>
                </c:pt>
              </c:strCache>
            </c:strRef>
          </c:cat>
          <c:val>
            <c:numRef>
              <c:f>'Field Data FINAL v3'!$U$13:$U$16</c:f>
              <c:numCache>
                <c:formatCode>0.0</c:formatCode>
                <c:ptCount val="4"/>
                <c:pt idx="0">
                  <c:v>13.5</c:v>
                </c:pt>
                <c:pt idx="1">
                  <c:v>14.4</c:v>
                </c:pt>
                <c:pt idx="2">
                  <c:v>16.866666666666667</c:v>
                </c:pt>
                <c:pt idx="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563-4D7E-B51B-57148CF6D8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091945"/>
        <c:axId val="63402545"/>
      </c:barChart>
      <c:catAx>
        <c:axId val="4309194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3402545"/>
        <c:crosses val="autoZero"/>
        <c:auto val="1"/>
        <c:lblAlgn val="ctr"/>
        <c:lblOffset val="100"/>
        <c:noMultiLvlLbl val="0"/>
      </c:catAx>
      <c:valAx>
        <c:axId val="6340254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309194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0</xdr:colOff>
      <xdr:row>17</xdr:row>
      <xdr:rowOff>71640</xdr:rowOff>
    </xdr:from>
    <xdr:to>
      <xdr:col>22</xdr:col>
      <xdr:colOff>322300</xdr:colOff>
      <xdr:row>32</xdr:row>
      <xdr:rowOff>93960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1"/>
  <sheetViews>
    <sheetView tabSelected="1" zoomScale="60" zoomScaleNormal="60" workbookViewId="0">
      <selection activeCell="A2" sqref="A2:XFD2"/>
    </sheetView>
  </sheetViews>
  <sheetFormatPr defaultColWidth="8.6640625" defaultRowHeight="14.4" x14ac:dyDescent="0.3"/>
  <cols>
    <col min="1" max="1" width="13" customWidth="1"/>
    <col min="2" max="2" width="8" customWidth="1"/>
    <col min="3" max="3" width="15.6640625" customWidth="1"/>
    <col min="4" max="15" width="8" customWidth="1"/>
    <col min="16" max="16" width="17.6640625" customWidth="1"/>
    <col min="17" max="17" width="3" customWidth="1"/>
    <col min="18" max="18" width="20" customWidth="1"/>
    <col min="19" max="19" width="15.5546875" customWidth="1"/>
    <col min="20" max="20" width="12.6640625" customWidth="1"/>
    <col min="21" max="21" width="10" customWidth="1"/>
  </cols>
  <sheetData>
    <row r="1" spans="1:21" ht="26.4" x14ac:dyDescent="0.6">
      <c r="A1" s="4" t="s">
        <v>0</v>
      </c>
    </row>
    <row r="2" spans="1:21" ht="17.399999999999999" x14ac:dyDescent="0.45">
      <c r="A2" s="5" t="s">
        <v>70</v>
      </c>
    </row>
    <row r="4" spans="1:21" ht="16.2" customHeight="1" x14ac:dyDescent="0.5">
      <c r="A4" s="3" t="s">
        <v>1</v>
      </c>
      <c r="B4" s="3" t="s">
        <v>2</v>
      </c>
      <c r="C4" s="3" t="s">
        <v>3</v>
      </c>
      <c r="D4" s="3" t="s">
        <v>4</v>
      </c>
      <c r="E4" s="3"/>
      <c r="F4" s="3"/>
      <c r="G4" s="3"/>
      <c r="H4" s="3" t="s">
        <v>5</v>
      </c>
      <c r="I4" s="3"/>
      <c r="J4" s="3"/>
      <c r="K4" s="3"/>
      <c r="L4" s="3" t="s">
        <v>6</v>
      </c>
      <c r="M4" s="3"/>
      <c r="N4" s="3"/>
      <c r="O4" s="3"/>
      <c r="P4" s="6"/>
      <c r="R4" s="7" t="s">
        <v>7</v>
      </c>
    </row>
    <row r="5" spans="1:21" ht="15" customHeight="1" x14ac:dyDescent="0.4">
      <c r="A5" s="3"/>
      <c r="B5" s="3"/>
      <c r="C5" s="3"/>
      <c r="D5" s="3" t="s">
        <v>8</v>
      </c>
      <c r="E5" s="3"/>
      <c r="F5" s="3" t="s">
        <v>9</v>
      </c>
      <c r="G5" s="3"/>
      <c r="H5" s="3" t="s">
        <v>8</v>
      </c>
      <c r="I5" s="3"/>
      <c r="J5" s="3" t="s">
        <v>9</v>
      </c>
      <c r="K5" s="3"/>
      <c r="L5" s="3" t="s">
        <v>8</v>
      </c>
      <c r="M5" s="3"/>
      <c r="N5" s="3" t="s">
        <v>9</v>
      </c>
      <c r="O5" s="3"/>
      <c r="P5" s="6"/>
      <c r="R5" s="8" t="s">
        <v>10</v>
      </c>
      <c r="S5" s="8" t="s">
        <v>11</v>
      </c>
      <c r="T5" s="8" t="s">
        <v>12</v>
      </c>
      <c r="U5" s="8" t="s">
        <v>13</v>
      </c>
    </row>
    <row r="6" spans="1:21" ht="36" customHeight="1" x14ac:dyDescent="0.35">
      <c r="A6" s="3"/>
      <c r="B6" s="3"/>
      <c r="C6" s="3"/>
      <c r="D6" s="6" t="s">
        <v>14</v>
      </c>
      <c r="E6" s="6" t="s">
        <v>15</v>
      </c>
      <c r="F6" s="6" t="s">
        <v>16</v>
      </c>
      <c r="G6" s="6" t="s">
        <v>17</v>
      </c>
      <c r="H6" s="6" t="s">
        <v>14</v>
      </c>
      <c r="I6" s="6" t="s">
        <v>15</v>
      </c>
      <c r="J6" s="6" t="s">
        <v>16</v>
      </c>
      <c r="K6" s="6" t="s">
        <v>17</v>
      </c>
      <c r="L6" s="6" t="s">
        <v>14</v>
      </c>
      <c r="M6" s="6" t="s">
        <v>15</v>
      </c>
      <c r="N6" s="6" t="s">
        <v>16</v>
      </c>
      <c r="O6" s="6" t="s">
        <v>17</v>
      </c>
      <c r="P6" s="6"/>
      <c r="R6" s="9" t="s">
        <v>4</v>
      </c>
      <c r="S6" s="9">
        <v>77.2</v>
      </c>
      <c r="T6" s="9">
        <v>56</v>
      </c>
      <c r="U6" s="9" t="s">
        <v>18</v>
      </c>
    </row>
    <row r="7" spans="1:21" ht="15" customHeight="1" x14ac:dyDescent="0.35">
      <c r="A7" s="2" t="s">
        <v>19</v>
      </c>
      <c r="B7" s="9" t="s">
        <v>20</v>
      </c>
      <c r="C7" s="10">
        <v>45047</v>
      </c>
      <c r="D7" s="9">
        <v>5.4</v>
      </c>
      <c r="E7" s="9">
        <v>5.8</v>
      </c>
      <c r="F7" s="9">
        <v>4</v>
      </c>
      <c r="G7" s="9">
        <v>16</v>
      </c>
      <c r="H7" s="9">
        <v>9.5</v>
      </c>
      <c r="I7" s="9">
        <v>6.8</v>
      </c>
      <c r="J7" s="9">
        <v>9</v>
      </c>
      <c r="K7" s="9">
        <v>22</v>
      </c>
      <c r="L7" s="9">
        <v>13</v>
      </c>
      <c r="M7" s="9">
        <v>9.3000000000000007</v>
      </c>
      <c r="N7" s="9" t="s">
        <v>21</v>
      </c>
      <c r="O7" s="9">
        <v>0</v>
      </c>
      <c r="P7" s="9"/>
      <c r="R7" s="9" t="s">
        <v>5</v>
      </c>
      <c r="S7" s="9">
        <v>81.900000000000006</v>
      </c>
      <c r="T7" s="9">
        <v>48</v>
      </c>
      <c r="U7" s="9" t="s">
        <v>22</v>
      </c>
    </row>
    <row r="8" spans="1:21" ht="17.399999999999999" x14ac:dyDescent="0.45">
      <c r="A8" s="2"/>
      <c r="B8" s="9" t="s">
        <v>23</v>
      </c>
      <c r="C8" s="10">
        <v>45047</v>
      </c>
      <c r="D8" s="9">
        <v>-99</v>
      </c>
      <c r="E8" s="9">
        <v>4.8</v>
      </c>
      <c r="F8" s="9">
        <v>5</v>
      </c>
      <c r="G8" s="9">
        <v>6</v>
      </c>
      <c r="H8" s="11">
        <v>9.6</v>
      </c>
      <c r="I8" s="9">
        <v>7.6</v>
      </c>
      <c r="J8" s="9">
        <v>7</v>
      </c>
      <c r="K8" s="9">
        <v>17</v>
      </c>
      <c r="L8" s="9">
        <v>14.2</v>
      </c>
      <c r="M8" s="9">
        <v>8.6</v>
      </c>
      <c r="N8" s="9"/>
      <c r="O8" s="9">
        <v>6</v>
      </c>
      <c r="P8" s="9"/>
      <c r="R8" s="9" t="s">
        <v>6</v>
      </c>
      <c r="S8" s="9">
        <v>83.7</v>
      </c>
      <c r="T8" s="9">
        <v>48</v>
      </c>
      <c r="U8" s="9" t="s">
        <v>24</v>
      </c>
    </row>
    <row r="9" spans="1:21" ht="15.6" x14ac:dyDescent="0.35">
      <c r="A9" s="2"/>
      <c r="B9" s="9" t="s">
        <v>25</v>
      </c>
      <c r="C9" s="10">
        <v>45047</v>
      </c>
      <c r="D9" s="9">
        <v>6.5</v>
      </c>
      <c r="E9" s="9" t="s">
        <v>26</v>
      </c>
      <c r="F9" s="9">
        <v>3</v>
      </c>
      <c r="G9" s="9">
        <v>1</v>
      </c>
      <c r="H9" s="9">
        <v>10.9</v>
      </c>
      <c r="I9" s="9">
        <v>5.3</v>
      </c>
      <c r="J9" s="9">
        <v>7</v>
      </c>
      <c r="K9" s="9">
        <v>9</v>
      </c>
      <c r="L9" s="9">
        <v>14.8</v>
      </c>
      <c r="M9" s="9">
        <v>7.6</v>
      </c>
      <c r="N9" s="9" t="s">
        <v>27</v>
      </c>
      <c r="O9" s="9">
        <v>31</v>
      </c>
      <c r="P9" s="9" t="s">
        <v>28</v>
      </c>
    </row>
    <row r="10" spans="1:21" ht="15.6" x14ac:dyDescent="0.35">
      <c r="A10" s="2"/>
      <c r="B10" s="9" t="s">
        <v>29</v>
      </c>
      <c r="C10" s="10">
        <v>45047</v>
      </c>
      <c r="D10" s="9">
        <v>5.7</v>
      </c>
      <c r="E10" s="9">
        <v>3.6</v>
      </c>
      <c r="F10" s="9">
        <v>4</v>
      </c>
      <c r="G10" s="9" t="s">
        <v>21</v>
      </c>
      <c r="H10" s="9">
        <v>8.6999999999999993</v>
      </c>
      <c r="I10" s="9">
        <v>6.1</v>
      </c>
      <c r="J10" s="9">
        <v>9</v>
      </c>
      <c r="K10" s="9">
        <v>-99</v>
      </c>
      <c r="L10" s="9">
        <v>12</v>
      </c>
      <c r="M10" s="9" t="s">
        <v>30</v>
      </c>
      <c r="N10" s="9">
        <v>8</v>
      </c>
      <c r="O10" s="9"/>
      <c r="P10" s="9"/>
    </row>
    <row r="11" spans="1:21" ht="20.399999999999999" x14ac:dyDescent="0.5">
      <c r="A11" s="12"/>
      <c r="B11" s="12" t="s">
        <v>31</v>
      </c>
      <c r="C11" s="12"/>
      <c r="D11" s="13">
        <f t="shared" ref="D11:O11" si="0">IFERROR(AVERAGE(D7:D10),"")</f>
        <v>-20.349999999999998</v>
      </c>
      <c r="E11" s="13">
        <f t="shared" si="0"/>
        <v>4.7333333333333334</v>
      </c>
      <c r="F11" s="13">
        <f t="shared" si="0"/>
        <v>4</v>
      </c>
      <c r="G11" s="13">
        <f t="shared" si="0"/>
        <v>7.666666666666667</v>
      </c>
      <c r="H11" s="13">
        <f t="shared" si="0"/>
        <v>9.6750000000000007</v>
      </c>
      <c r="I11" s="13">
        <f t="shared" si="0"/>
        <v>6.4499999999999993</v>
      </c>
      <c r="J11" s="13">
        <f t="shared" si="0"/>
        <v>8</v>
      </c>
      <c r="K11" s="13">
        <f t="shared" si="0"/>
        <v>-12.75</v>
      </c>
      <c r="L11" s="13">
        <f t="shared" si="0"/>
        <v>13.5</v>
      </c>
      <c r="M11" s="13">
        <f t="shared" si="0"/>
        <v>8.5</v>
      </c>
      <c r="N11" s="13">
        <f t="shared" si="0"/>
        <v>8</v>
      </c>
      <c r="O11" s="13">
        <f t="shared" si="0"/>
        <v>12.333333333333334</v>
      </c>
      <c r="P11" s="12"/>
      <c r="R11" s="7" t="s">
        <v>32</v>
      </c>
    </row>
    <row r="12" spans="1:21" ht="17.399999999999999" x14ac:dyDescent="0.45">
      <c r="A12" s="12"/>
      <c r="B12" s="12" t="s">
        <v>33</v>
      </c>
      <c r="C12" s="12"/>
      <c r="D12" s="13">
        <f t="shared" ref="D12:O12" si="1">IFERROR(STDEV(D7:D10),"")</f>
        <v>52.435388813281435</v>
      </c>
      <c r="E12" s="13">
        <f t="shared" si="1"/>
        <v>1.1015141094572227</v>
      </c>
      <c r="F12" s="13">
        <f t="shared" si="1"/>
        <v>0.81649658092772603</v>
      </c>
      <c r="G12" s="13">
        <f t="shared" si="1"/>
        <v>7.6376261582597333</v>
      </c>
      <c r="H12" s="13">
        <f t="shared" si="1"/>
        <v>0.91058589197651607</v>
      </c>
      <c r="I12" s="13">
        <f t="shared" si="1"/>
        <v>0.98149545762237111</v>
      </c>
      <c r="J12" s="13">
        <f t="shared" si="1"/>
        <v>1.1547005383792515</v>
      </c>
      <c r="K12" s="13">
        <f t="shared" si="1"/>
        <v>57.748737359934253</v>
      </c>
      <c r="L12" s="13">
        <f t="shared" si="1"/>
        <v>1.2489995996796799</v>
      </c>
      <c r="M12" s="13">
        <f t="shared" si="1"/>
        <v>0.85440037453175366</v>
      </c>
      <c r="N12" s="13" t="str">
        <f t="shared" si="1"/>
        <v/>
      </c>
      <c r="O12" s="13">
        <f t="shared" si="1"/>
        <v>16.441816606851365</v>
      </c>
      <c r="P12" s="12"/>
      <c r="R12" s="8" t="s">
        <v>34</v>
      </c>
      <c r="S12" s="8" t="s">
        <v>4</v>
      </c>
      <c r="T12" s="8" t="s">
        <v>5</v>
      </c>
      <c r="U12" s="8" t="s">
        <v>6</v>
      </c>
    </row>
    <row r="13" spans="1:21" ht="15" customHeight="1" x14ac:dyDescent="0.35">
      <c r="A13" s="2" t="s">
        <v>35</v>
      </c>
      <c r="B13" s="14" t="s">
        <v>36</v>
      </c>
      <c r="C13" s="15">
        <v>45048</v>
      </c>
      <c r="D13" s="14">
        <v>6.2</v>
      </c>
      <c r="E13" s="14"/>
      <c r="F13" s="14" t="s">
        <v>37</v>
      </c>
      <c r="G13" s="14">
        <v>11</v>
      </c>
      <c r="H13" s="14">
        <v>9.4</v>
      </c>
      <c r="I13" s="14" t="s">
        <v>38</v>
      </c>
      <c r="J13" s="14">
        <v>8</v>
      </c>
      <c r="K13" s="14">
        <v>4</v>
      </c>
      <c r="L13" s="14">
        <v>13.9</v>
      </c>
      <c r="M13" s="14">
        <v>10.6</v>
      </c>
      <c r="N13" s="14">
        <v>12</v>
      </c>
      <c r="O13" s="14">
        <v>12</v>
      </c>
      <c r="P13" s="14"/>
      <c r="R13" s="16" t="s">
        <v>19</v>
      </c>
      <c r="S13" s="17">
        <f>D11</f>
        <v>-20.349999999999998</v>
      </c>
      <c r="T13" s="17">
        <f>H11</f>
        <v>9.6750000000000007</v>
      </c>
      <c r="U13" s="17">
        <f>L11</f>
        <v>13.5</v>
      </c>
    </row>
    <row r="14" spans="1:21" ht="15.6" x14ac:dyDescent="0.35">
      <c r="A14" s="2"/>
      <c r="B14" s="9" t="s">
        <v>39</v>
      </c>
      <c r="C14" s="10">
        <v>45048</v>
      </c>
      <c r="D14" s="9">
        <v>6.5</v>
      </c>
      <c r="E14" s="9" t="s">
        <v>40</v>
      </c>
      <c r="F14" s="9">
        <v>3</v>
      </c>
      <c r="G14" s="9">
        <v>8</v>
      </c>
      <c r="H14" s="9">
        <v>12.3</v>
      </c>
      <c r="I14" s="9">
        <v>8.3000000000000007</v>
      </c>
      <c r="J14" s="9">
        <v>7</v>
      </c>
      <c r="K14" s="9">
        <v>23</v>
      </c>
      <c r="L14" s="9">
        <v>13.3</v>
      </c>
      <c r="M14" s="9">
        <v>10.3</v>
      </c>
      <c r="N14" s="9">
        <v>7</v>
      </c>
      <c r="O14" s="9">
        <v>13</v>
      </c>
      <c r="P14" s="9" t="s">
        <v>41</v>
      </c>
      <c r="R14" s="16" t="s">
        <v>35</v>
      </c>
      <c r="S14" s="17">
        <f>D17</f>
        <v>6</v>
      </c>
      <c r="T14" s="17">
        <f>H17</f>
        <v>11.775000000000002</v>
      </c>
      <c r="U14" s="17">
        <f>L17</f>
        <v>14.4</v>
      </c>
    </row>
    <row r="15" spans="1:21" ht="16.2" x14ac:dyDescent="0.4">
      <c r="A15" s="2"/>
      <c r="B15" s="9" t="s">
        <v>42</v>
      </c>
      <c r="C15" s="10">
        <v>45048</v>
      </c>
      <c r="D15" s="9">
        <v>5.3</v>
      </c>
      <c r="E15" s="9" t="s">
        <v>37</v>
      </c>
      <c r="F15" s="9">
        <v>5</v>
      </c>
      <c r="G15" s="9">
        <v>-99</v>
      </c>
      <c r="H15" s="9">
        <v>13.2</v>
      </c>
      <c r="I15" s="18">
        <v>7.6</v>
      </c>
      <c r="J15" s="19">
        <v>9</v>
      </c>
      <c r="K15" s="9" t="s">
        <v>40</v>
      </c>
      <c r="L15" s="9">
        <v>15.5</v>
      </c>
      <c r="M15" s="9"/>
      <c r="N15" s="9" t="s">
        <v>40</v>
      </c>
      <c r="O15" s="9">
        <v>19</v>
      </c>
      <c r="P15" s="9"/>
      <c r="R15" s="16" t="s">
        <v>43</v>
      </c>
      <c r="S15" s="17">
        <f>D23</f>
        <v>7.85</v>
      </c>
      <c r="T15" s="17">
        <f>H23</f>
        <v>231.60000000000002</v>
      </c>
      <c r="U15" s="17">
        <f>L23</f>
        <v>16.866666666666667</v>
      </c>
    </row>
    <row r="16" spans="1:21" ht="15.6" x14ac:dyDescent="0.35">
      <c r="A16" s="2"/>
      <c r="B16" s="9" t="s">
        <v>44</v>
      </c>
      <c r="C16" s="10">
        <v>45048</v>
      </c>
      <c r="D16" s="9"/>
      <c r="E16" s="9">
        <v>999</v>
      </c>
      <c r="F16" s="9">
        <v>4</v>
      </c>
      <c r="G16" s="9">
        <v>10</v>
      </c>
      <c r="H16" s="9">
        <v>12.2</v>
      </c>
      <c r="I16" s="9">
        <v>8.5</v>
      </c>
      <c r="J16" s="9">
        <v>5</v>
      </c>
      <c r="K16" s="9">
        <v>999</v>
      </c>
      <c r="L16" s="9">
        <v>14.9</v>
      </c>
      <c r="M16" s="9">
        <v>999</v>
      </c>
      <c r="N16" s="9">
        <v>7</v>
      </c>
      <c r="O16" s="9">
        <v>26</v>
      </c>
      <c r="P16" s="9"/>
      <c r="R16" s="16" t="s">
        <v>45</v>
      </c>
      <c r="S16" s="17">
        <f>D31</f>
        <v>4.2</v>
      </c>
      <c r="T16" s="17">
        <f>H31</f>
        <v>6.65</v>
      </c>
      <c r="U16" s="17">
        <f>L31</f>
        <v>10</v>
      </c>
    </row>
    <row r="17" spans="1:16" ht="17.399999999999999" x14ac:dyDescent="0.45">
      <c r="A17" s="12"/>
      <c r="B17" s="12" t="s">
        <v>31</v>
      </c>
      <c r="C17" s="12"/>
      <c r="D17" s="13">
        <f t="shared" ref="D17:O17" si="2">IFERROR(AVERAGE(D13:D16),"")</f>
        <v>6</v>
      </c>
      <c r="E17" s="13">
        <f t="shared" si="2"/>
        <v>999</v>
      </c>
      <c r="F17" s="13">
        <f t="shared" si="2"/>
        <v>4</v>
      </c>
      <c r="G17" s="13">
        <f t="shared" si="2"/>
        <v>-17.5</v>
      </c>
      <c r="H17" s="13">
        <f t="shared" si="2"/>
        <v>11.775000000000002</v>
      </c>
      <c r="I17" s="13">
        <f t="shared" si="2"/>
        <v>8.1333333333333329</v>
      </c>
      <c r="J17" s="13">
        <f t="shared" si="2"/>
        <v>7.25</v>
      </c>
      <c r="K17" s="13">
        <f t="shared" si="2"/>
        <v>342</v>
      </c>
      <c r="L17" s="13">
        <f t="shared" si="2"/>
        <v>14.4</v>
      </c>
      <c r="M17" s="13">
        <f t="shared" si="2"/>
        <v>339.96666666666664</v>
      </c>
      <c r="N17" s="13">
        <f t="shared" si="2"/>
        <v>8.6666666666666661</v>
      </c>
      <c r="O17" s="13">
        <f t="shared" si="2"/>
        <v>17.5</v>
      </c>
      <c r="P17" s="12"/>
    </row>
    <row r="18" spans="1:16" ht="17.399999999999999" x14ac:dyDescent="0.45">
      <c r="A18" s="12"/>
      <c r="B18" s="12" t="s">
        <v>33</v>
      </c>
      <c r="C18" s="12"/>
      <c r="D18" s="13">
        <f t="shared" ref="D18:O18" si="3">IFERROR(STDEV(D13:D16),"")</f>
        <v>0.62449979983983994</v>
      </c>
      <c r="E18" s="13" t="str">
        <f t="shared" si="3"/>
        <v/>
      </c>
      <c r="F18" s="13">
        <f t="shared" si="3"/>
        <v>1</v>
      </c>
      <c r="G18" s="13">
        <f t="shared" si="3"/>
        <v>54.347646376514469</v>
      </c>
      <c r="H18" s="13">
        <f t="shared" si="3"/>
        <v>1.6459546368799503</v>
      </c>
      <c r="I18" s="13">
        <f t="shared" si="3"/>
        <v>0.47258156262526119</v>
      </c>
      <c r="J18" s="13">
        <f t="shared" si="3"/>
        <v>1.707825127659933</v>
      </c>
      <c r="K18" s="13">
        <f t="shared" si="3"/>
        <v>569.05799352965778</v>
      </c>
      <c r="L18" s="13">
        <f t="shared" si="3"/>
        <v>0.98657657246324926</v>
      </c>
      <c r="M18" s="13">
        <f t="shared" si="3"/>
        <v>570.7396283186697</v>
      </c>
      <c r="N18" s="13">
        <f t="shared" si="3"/>
        <v>2.8867513459481282</v>
      </c>
      <c r="O18" s="13">
        <f t="shared" si="3"/>
        <v>6.4549722436790278</v>
      </c>
      <c r="P18" s="12"/>
    </row>
    <row r="19" spans="1:16" ht="15" customHeight="1" x14ac:dyDescent="0.35">
      <c r="A19" s="2" t="s">
        <v>43</v>
      </c>
      <c r="B19" s="9" t="s">
        <v>46</v>
      </c>
      <c r="C19" s="10">
        <v>45049</v>
      </c>
      <c r="D19" s="9">
        <v>7.2</v>
      </c>
      <c r="E19" s="9">
        <v>4.7</v>
      </c>
      <c r="F19" s="9">
        <v>3</v>
      </c>
      <c r="G19" s="9"/>
      <c r="H19" s="9">
        <v>999</v>
      </c>
      <c r="I19" s="9">
        <v>5.5</v>
      </c>
      <c r="J19" s="9">
        <v>8</v>
      </c>
      <c r="K19" s="9">
        <v>0</v>
      </c>
      <c r="L19" s="9" t="s">
        <v>47</v>
      </c>
      <c r="M19" s="9">
        <v>9.6</v>
      </c>
      <c r="N19" s="9">
        <v>9</v>
      </c>
      <c r="O19" s="9">
        <v>28</v>
      </c>
      <c r="P19" s="9"/>
    </row>
    <row r="20" spans="1:16" ht="15.6" x14ac:dyDescent="0.35">
      <c r="A20" s="2"/>
      <c r="B20" s="9" t="s">
        <v>48</v>
      </c>
      <c r="C20" s="10">
        <v>45049</v>
      </c>
      <c r="D20" s="9">
        <v>6.6</v>
      </c>
      <c r="E20" s="9">
        <v>3.8</v>
      </c>
      <c r="F20" s="9">
        <v>4</v>
      </c>
      <c r="G20" s="9">
        <v>12</v>
      </c>
      <c r="H20" s="9">
        <v>15</v>
      </c>
      <c r="I20" s="9">
        <v>5.5</v>
      </c>
      <c r="J20" s="9">
        <v>5</v>
      </c>
      <c r="K20" s="9">
        <v>8</v>
      </c>
      <c r="L20" s="9">
        <v>14.8</v>
      </c>
      <c r="M20" s="9">
        <v>11.6</v>
      </c>
      <c r="N20" s="9">
        <v>10</v>
      </c>
      <c r="O20" s="9">
        <v>31</v>
      </c>
      <c r="P20" s="9" t="s">
        <v>49</v>
      </c>
    </row>
    <row r="21" spans="1:16" ht="15.6" x14ac:dyDescent="0.35">
      <c r="A21" s="2"/>
      <c r="B21" s="20" t="s">
        <v>50</v>
      </c>
      <c r="C21" s="21">
        <v>45049</v>
      </c>
      <c r="D21" s="20">
        <v>8.6</v>
      </c>
      <c r="E21" s="20">
        <v>4.9000000000000004</v>
      </c>
      <c r="F21" s="20">
        <v>3</v>
      </c>
      <c r="G21" s="20">
        <v>999</v>
      </c>
      <c r="H21" s="20">
        <v>11.4</v>
      </c>
      <c r="I21" s="20">
        <v>7.6</v>
      </c>
      <c r="J21" s="20">
        <v>6</v>
      </c>
      <c r="K21" s="20" t="s">
        <v>51</v>
      </c>
      <c r="L21" s="20">
        <v>15.9</v>
      </c>
      <c r="M21" s="20">
        <v>11</v>
      </c>
      <c r="N21" s="20">
        <v>7</v>
      </c>
      <c r="O21" s="20">
        <v>34</v>
      </c>
      <c r="P21" s="20"/>
    </row>
    <row r="22" spans="1:16" ht="15.6" x14ac:dyDescent="0.35">
      <c r="A22" s="2"/>
      <c r="B22" s="9" t="s">
        <v>52</v>
      </c>
      <c r="C22" s="10">
        <v>45049</v>
      </c>
      <c r="D22" s="9">
        <v>9</v>
      </c>
      <c r="E22" s="9">
        <v>5.0999999999999996</v>
      </c>
      <c r="F22" s="9">
        <v>6</v>
      </c>
      <c r="G22" s="9">
        <v>0</v>
      </c>
      <c r="H22" s="9">
        <v>-99</v>
      </c>
      <c r="I22" s="9">
        <v>6.1</v>
      </c>
      <c r="J22" s="9">
        <v>9</v>
      </c>
      <c r="K22" s="9" t="s">
        <v>53</v>
      </c>
      <c r="L22" s="9">
        <v>19.899999999999999</v>
      </c>
      <c r="M22" s="9">
        <v>8.1</v>
      </c>
      <c r="N22" s="9">
        <v>12</v>
      </c>
      <c r="O22" s="9">
        <v>28</v>
      </c>
      <c r="P22" s="9"/>
    </row>
    <row r="23" spans="1:16" ht="17.399999999999999" x14ac:dyDescent="0.45">
      <c r="A23" s="12"/>
      <c r="B23" s="12" t="s">
        <v>31</v>
      </c>
      <c r="C23" s="12"/>
      <c r="D23" s="13">
        <f t="shared" ref="D23:O23" si="4">IFERROR(AVERAGE(D19:D22),"")</f>
        <v>7.85</v>
      </c>
      <c r="E23" s="13">
        <f t="shared" si="4"/>
        <v>4.625</v>
      </c>
      <c r="F23" s="13">
        <f t="shared" si="4"/>
        <v>4</v>
      </c>
      <c r="G23" s="13">
        <f t="shared" si="4"/>
        <v>337</v>
      </c>
      <c r="H23" s="13">
        <f t="shared" si="4"/>
        <v>231.60000000000002</v>
      </c>
      <c r="I23" s="13">
        <f t="shared" si="4"/>
        <v>6.1750000000000007</v>
      </c>
      <c r="J23" s="13">
        <f t="shared" si="4"/>
        <v>7</v>
      </c>
      <c r="K23" s="13">
        <f t="shared" si="4"/>
        <v>4</v>
      </c>
      <c r="L23" s="13">
        <f t="shared" si="4"/>
        <v>16.866666666666667</v>
      </c>
      <c r="M23" s="13">
        <f t="shared" si="4"/>
        <v>10.075000000000001</v>
      </c>
      <c r="N23" s="13">
        <f t="shared" si="4"/>
        <v>9.5</v>
      </c>
      <c r="O23" s="13">
        <f t="shared" si="4"/>
        <v>30.25</v>
      </c>
      <c r="P23" s="12"/>
    </row>
    <row r="24" spans="1:16" ht="17.399999999999999" x14ac:dyDescent="0.45">
      <c r="A24" s="12"/>
      <c r="B24" s="12" t="s">
        <v>33</v>
      </c>
      <c r="C24" s="12"/>
      <c r="D24" s="13">
        <f t="shared" ref="D24:O24" si="5">IFERROR(STDEV(D19:D22),"")</f>
        <v>1.1357816691600595</v>
      </c>
      <c r="E24" s="13">
        <f t="shared" si="5"/>
        <v>0.57373048260195347</v>
      </c>
      <c r="F24" s="13">
        <f t="shared" si="5"/>
        <v>1.4142135623730951</v>
      </c>
      <c r="G24" s="13">
        <f t="shared" si="5"/>
        <v>573.34021313701692</v>
      </c>
      <c r="H24" s="13">
        <f t="shared" si="5"/>
        <v>514.32892199447622</v>
      </c>
      <c r="I24" s="13">
        <f t="shared" si="5"/>
        <v>0.99121138007993936</v>
      </c>
      <c r="J24" s="13">
        <f t="shared" si="5"/>
        <v>1.8257418583505538</v>
      </c>
      <c r="K24" s="13">
        <f t="shared" si="5"/>
        <v>5.6568542494923806</v>
      </c>
      <c r="L24" s="13">
        <f t="shared" si="5"/>
        <v>2.6839026311200751</v>
      </c>
      <c r="M24" s="13">
        <f t="shared" si="5"/>
        <v>1.56071564781459</v>
      </c>
      <c r="N24" s="13">
        <f t="shared" si="5"/>
        <v>2.0816659994661326</v>
      </c>
      <c r="O24" s="13">
        <f t="shared" si="5"/>
        <v>2.8722813232690143</v>
      </c>
      <c r="P24" s="12"/>
    </row>
    <row r="25" spans="1:16" ht="15" customHeight="1" x14ac:dyDescent="0.45">
      <c r="A25" s="2" t="s">
        <v>54</v>
      </c>
      <c r="B25" s="12" t="s">
        <v>31</v>
      </c>
      <c r="C25" s="12"/>
      <c r="D25" s="13">
        <f t="shared" ref="D25:O25" si="6">IFERROR(AVERAGE(D13:D16,D19:D22),"")</f>
        <v>7.0571428571428569</v>
      </c>
      <c r="E25" s="13">
        <f t="shared" si="6"/>
        <v>203.5</v>
      </c>
      <c r="F25" s="13">
        <f t="shared" si="6"/>
        <v>4</v>
      </c>
      <c r="G25" s="13">
        <f t="shared" si="6"/>
        <v>134.42857142857142</v>
      </c>
      <c r="H25" s="13">
        <f t="shared" si="6"/>
        <v>121.6875</v>
      </c>
      <c r="I25" s="13">
        <f t="shared" si="6"/>
        <v>7.0142857142857142</v>
      </c>
      <c r="J25" s="13">
        <f t="shared" si="6"/>
        <v>7.125</v>
      </c>
      <c r="K25" s="13">
        <f t="shared" si="6"/>
        <v>206.8</v>
      </c>
      <c r="L25" s="13">
        <f t="shared" si="6"/>
        <v>15.457142857142859</v>
      </c>
      <c r="M25" s="13">
        <f t="shared" si="6"/>
        <v>151.45714285714283</v>
      </c>
      <c r="N25" s="13">
        <f t="shared" si="6"/>
        <v>9.1428571428571423</v>
      </c>
      <c r="O25" s="13">
        <f t="shared" si="6"/>
        <v>23.875</v>
      </c>
      <c r="P25" s="12"/>
    </row>
    <row r="26" spans="1:16" ht="17.399999999999999" x14ac:dyDescent="0.45">
      <c r="A26" s="2"/>
      <c r="B26" s="12" t="s">
        <v>33</v>
      </c>
      <c r="C26" s="12"/>
      <c r="D26" s="13">
        <f t="shared" ref="D26:O26" si="7">IFERROR(STDEV(D13:D16,D19:D22),"")</f>
        <v>1.3239551136111649</v>
      </c>
      <c r="E26" s="13">
        <f t="shared" si="7"/>
        <v>444.69829660119001</v>
      </c>
      <c r="F26" s="13">
        <f t="shared" si="7"/>
        <v>1.1547005383792515</v>
      </c>
      <c r="G26" s="13">
        <f t="shared" si="7"/>
        <v>383.34790862559697</v>
      </c>
      <c r="H26" s="13">
        <f t="shared" si="7"/>
        <v>356.62243114091564</v>
      </c>
      <c r="I26" s="13">
        <f t="shared" si="7"/>
        <v>1.2889641466808019</v>
      </c>
      <c r="J26" s="13">
        <f t="shared" si="7"/>
        <v>1.6420805617960927</v>
      </c>
      <c r="K26" s="13">
        <f t="shared" si="7"/>
        <v>442.93870907835543</v>
      </c>
      <c r="L26" s="13">
        <f t="shared" si="7"/>
        <v>2.1508580790443577</v>
      </c>
      <c r="M26" s="13">
        <f t="shared" si="7"/>
        <v>373.73295215141189</v>
      </c>
      <c r="N26" s="13">
        <f t="shared" si="7"/>
        <v>2.2677868380553647</v>
      </c>
      <c r="O26" s="13">
        <f t="shared" si="7"/>
        <v>8.2364607516994646</v>
      </c>
      <c r="P26" s="12"/>
    </row>
    <row r="27" spans="1:16" ht="15" customHeight="1" x14ac:dyDescent="0.35">
      <c r="A27" s="2" t="s">
        <v>45</v>
      </c>
      <c r="B27" s="9" t="s">
        <v>55</v>
      </c>
      <c r="C27" s="10">
        <v>45050</v>
      </c>
      <c r="D27" s="9">
        <v>4.7</v>
      </c>
      <c r="E27" s="9">
        <v>4.0999999999999996</v>
      </c>
      <c r="F27" s="9">
        <v>5</v>
      </c>
      <c r="G27" s="9">
        <v>20</v>
      </c>
      <c r="H27" s="9">
        <v>5.9</v>
      </c>
      <c r="I27" s="9">
        <v>8.1999999999999993</v>
      </c>
      <c r="J27" s="9">
        <v>5</v>
      </c>
      <c r="K27" s="9">
        <v>24</v>
      </c>
      <c r="L27" s="9">
        <v>11.9</v>
      </c>
      <c r="M27" s="9">
        <v>11</v>
      </c>
      <c r="N27" s="9">
        <v>12</v>
      </c>
      <c r="O27" s="9">
        <v>22</v>
      </c>
      <c r="P27" s="9" t="s">
        <v>56</v>
      </c>
    </row>
    <row r="28" spans="1:16" ht="15.6" x14ac:dyDescent="0.35">
      <c r="A28" s="2"/>
      <c r="B28" s="9" t="s">
        <v>57</v>
      </c>
      <c r="C28" s="10">
        <v>45050</v>
      </c>
      <c r="D28" s="9" t="s">
        <v>58</v>
      </c>
      <c r="E28" s="9">
        <v>4.3</v>
      </c>
      <c r="F28" s="9">
        <v>3</v>
      </c>
      <c r="G28" s="9">
        <v>2</v>
      </c>
      <c r="H28" s="9">
        <v>5.7</v>
      </c>
      <c r="I28" s="9">
        <v>7.7</v>
      </c>
      <c r="J28" s="9" t="s">
        <v>59</v>
      </c>
      <c r="K28" s="9">
        <v>28</v>
      </c>
      <c r="L28" s="9">
        <v>10</v>
      </c>
      <c r="M28" s="9">
        <v>7.4</v>
      </c>
      <c r="N28" s="9">
        <v>11</v>
      </c>
      <c r="O28" s="9">
        <v>35</v>
      </c>
      <c r="P28" s="9"/>
    </row>
    <row r="29" spans="1:16" ht="15.6" x14ac:dyDescent="0.35">
      <c r="A29" s="2"/>
      <c r="B29" s="9" t="s">
        <v>60</v>
      </c>
      <c r="C29" s="10">
        <v>45050</v>
      </c>
      <c r="D29" s="9">
        <v>4.5</v>
      </c>
      <c r="E29" s="9">
        <v>4.7</v>
      </c>
      <c r="F29" s="9">
        <v>6</v>
      </c>
      <c r="G29" s="9">
        <v>19</v>
      </c>
      <c r="H29" s="9">
        <v>8.3000000000000007</v>
      </c>
      <c r="I29" s="9">
        <v>7.1</v>
      </c>
      <c r="J29" s="9">
        <v>6</v>
      </c>
      <c r="K29" s="9">
        <v>7</v>
      </c>
      <c r="L29" s="9" t="s">
        <v>40</v>
      </c>
      <c r="M29" s="9">
        <v>9.6</v>
      </c>
      <c r="N29" s="22" t="s">
        <v>61</v>
      </c>
      <c r="O29" s="9">
        <v>5</v>
      </c>
      <c r="P29" s="9" t="s">
        <v>62</v>
      </c>
    </row>
    <row r="30" spans="1:16" ht="15.6" x14ac:dyDescent="0.35">
      <c r="A30" s="2"/>
      <c r="B30" s="9" t="s">
        <v>63</v>
      </c>
      <c r="C30" s="10">
        <v>45050</v>
      </c>
      <c r="D30" s="9">
        <v>3.4</v>
      </c>
      <c r="E30" s="9">
        <v>4.2</v>
      </c>
      <c r="F30" s="9">
        <v>6</v>
      </c>
      <c r="G30" s="9">
        <v>15</v>
      </c>
      <c r="H30" s="9">
        <v>6.7</v>
      </c>
      <c r="I30" s="9">
        <v>8.6999999999999993</v>
      </c>
      <c r="J30" s="9">
        <v>9</v>
      </c>
      <c r="K30" s="9">
        <v>12</v>
      </c>
      <c r="L30" s="9">
        <v>8.1</v>
      </c>
      <c r="M30" s="9">
        <v>10.5</v>
      </c>
      <c r="N30" s="9">
        <v>7</v>
      </c>
      <c r="O30" s="9" t="s">
        <v>37</v>
      </c>
      <c r="P30" s="9"/>
    </row>
    <row r="31" spans="1:16" ht="17.399999999999999" x14ac:dyDescent="0.45">
      <c r="A31" s="12"/>
      <c r="B31" s="12" t="s">
        <v>31</v>
      </c>
      <c r="C31" s="12"/>
      <c r="D31" s="13">
        <f t="shared" ref="D31:O31" si="8">IFERROR(AVERAGE(D27:D30),"")</f>
        <v>4.2</v>
      </c>
      <c r="E31" s="13">
        <f t="shared" si="8"/>
        <v>4.3249999999999993</v>
      </c>
      <c r="F31" s="13">
        <f t="shared" si="8"/>
        <v>5</v>
      </c>
      <c r="G31" s="13">
        <f t="shared" si="8"/>
        <v>14</v>
      </c>
      <c r="H31" s="13">
        <f t="shared" si="8"/>
        <v>6.65</v>
      </c>
      <c r="I31" s="13">
        <f t="shared" si="8"/>
        <v>7.9249999999999998</v>
      </c>
      <c r="J31" s="13">
        <f t="shared" si="8"/>
        <v>6.666666666666667</v>
      </c>
      <c r="K31" s="13">
        <f t="shared" si="8"/>
        <v>17.75</v>
      </c>
      <c r="L31" s="13">
        <f t="shared" si="8"/>
        <v>10</v>
      </c>
      <c r="M31" s="13">
        <f t="shared" si="8"/>
        <v>9.625</v>
      </c>
      <c r="N31" s="13">
        <f t="shared" si="8"/>
        <v>10</v>
      </c>
      <c r="O31" s="13">
        <f t="shared" si="8"/>
        <v>20.666666666666668</v>
      </c>
      <c r="P31" s="12"/>
    </row>
    <row r="32" spans="1:16" ht="17.399999999999999" x14ac:dyDescent="0.45">
      <c r="A32" s="12"/>
      <c r="B32" s="12" t="s">
        <v>33</v>
      </c>
      <c r="C32" s="12"/>
      <c r="D32" s="13">
        <f t="shared" ref="D32:O32" si="9">IFERROR(STDEV(D27:D30),"")</f>
        <v>0.70000000000000395</v>
      </c>
      <c r="E32" s="13">
        <f t="shared" si="9"/>
        <v>0.2629955639676585</v>
      </c>
      <c r="F32" s="13">
        <f t="shared" si="9"/>
        <v>1.4142135623730951</v>
      </c>
      <c r="G32" s="13">
        <f t="shared" si="9"/>
        <v>8.2865352631040352</v>
      </c>
      <c r="H32" s="13">
        <f t="shared" si="9"/>
        <v>1.1818065267490594</v>
      </c>
      <c r="I32" s="13">
        <f t="shared" si="9"/>
        <v>0.68495741960115031</v>
      </c>
      <c r="J32" s="13">
        <f t="shared" si="9"/>
        <v>2.0816659994661317</v>
      </c>
      <c r="K32" s="13">
        <f t="shared" si="9"/>
        <v>9.8784276751582958</v>
      </c>
      <c r="L32" s="13">
        <f t="shared" si="9"/>
        <v>1.9000000000000037</v>
      </c>
      <c r="M32" s="13">
        <f t="shared" si="9"/>
        <v>1.5924300089276513</v>
      </c>
      <c r="N32" s="13">
        <f t="shared" si="9"/>
        <v>2.6457513110645907</v>
      </c>
      <c r="O32" s="13">
        <f t="shared" si="9"/>
        <v>15.044378795195678</v>
      </c>
      <c r="P32" s="12"/>
    </row>
    <row r="34" spans="1:16" ht="15" customHeight="1" x14ac:dyDescent="0.4">
      <c r="A34" s="1" t="s">
        <v>64</v>
      </c>
      <c r="B34" s="23" t="s">
        <v>31</v>
      </c>
      <c r="C34" s="23"/>
      <c r="D34" s="24">
        <f t="shared" ref="D34:O34" si="10">IFERROR(AVERAGE(D7:D32),"")</f>
        <v>1.7323653438764739</v>
      </c>
      <c r="E34" s="24">
        <f t="shared" si="10"/>
        <v>129.13427952812143</v>
      </c>
      <c r="F34" s="24">
        <f t="shared" si="10"/>
        <v>3.6319849697621267</v>
      </c>
      <c r="G34" s="24">
        <f t="shared" si="10"/>
        <v>105.10646531898875</v>
      </c>
      <c r="H34" s="24">
        <f t="shared" si="10"/>
        <v>88.264507699653748</v>
      </c>
      <c r="I34" s="24">
        <f t="shared" si="10"/>
        <v>5.8686731605691431</v>
      </c>
      <c r="J34" s="24">
        <f t="shared" si="10"/>
        <v>6.1381472300927449</v>
      </c>
      <c r="K34" s="24">
        <f t="shared" si="10"/>
        <v>117.26437921272166</v>
      </c>
      <c r="L34" s="24">
        <f t="shared" si="10"/>
        <v>11.308089433588203</v>
      </c>
      <c r="M34" s="24">
        <f t="shared" si="10"/>
        <v>108.01266400104855</v>
      </c>
      <c r="N34" s="24">
        <f t="shared" si="10"/>
        <v>7.8595739652029026</v>
      </c>
      <c r="O34" s="24">
        <f t="shared" si="10"/>
        <v>18.486454571695607</v>
      </c>
      <c r="P34" s="23"/>
    </row>
    <row r="35" spans="1:16" ht="16.2" x14ac:dyDescent="0.4">
      <c r="A35" s="1"/>
      <c r="B35" s="23" t="s">
        <v>33</v>
      </c>
      <c r="C35" s="23"/>
      <c r="D35" s="24">
        <f t="shared" ref="D35:O35" si="11">IFERROR(STDEV(D7:D32),"")</f>
        <v>24.297517291329989</v>
      </c>
      <c r="E35" s="24">
        <f t="shared" si="11"/>
        <v>307.02420525317905</v>
      </c>
      <c r="F35" s="24">
        <f t="shared" si="11"/>
        <v>1.5574702978113542</v>
      </c>
      <c r="G35" s="24">
        <f t="shared" si="11"/>
        <v>242.74996055737353</v>
      </c>
      <c r="H35" s="24">
        <f t="shared" si="11"/>
        <v>225.13667790860634</v>
      </c>
      <c r="I35" s="24">
        <f t="shared" si="11"/>
        <v>2.7191964994115616</v>
      </c>
      <c r="J35" s="24">
        <f t="shared" si="11"/>
        <v>2.5857331264166206</v>
      </c>
      <c r="K35" s="24">
        <f t="shared" si="11"/>
        <v>250.29587659232649</v>
      </c>
      <c r="L35" s="24">
        <f t="shared" si="11"/>
        <v>5.5292160289514927</v>
      </c>
      <c r="M35" s="24">
        <f t="shared" si="11"/>
        <v>239.87643987018029</v>
      </c>
      <c r="N35" s="24">
        <f t="shared" si="11"/>
        <v>3.2143134927631305</v>
      </c>
      <c r="O35" s="24">
        <f t="shared" si="11"/>
        <v>10.527390574564906</v>
      </c>
      <c r="P35" s="23"/>
    </row>
    <row r="36" spans="1:16" ht="16.2" x14ac:dyDescent="0.4">
      <c r="A36" s="1"/>
      <c r="B36" s="23" t="s">
        <v>65</v>
      </c>
      <c r="C36" s="23"/>
      <c r="D36" s="24">
        <f t="shared" ref="D36:O36" si="12">IFERROR(MAX(D7:D32),"")</f>
        <v>52.435388813281435</v>
      </c>
      <c r="E36" s="24">
        <f t="shared" si="12"/>
        <v>999</v>
      </c>
      <c r="F36" s="24">
        <f t="shared" si="12"/>
        <v>6</v>
      </c>
      <c r="G36" s="24">
        <f t="shared" si="12"/>
        <v>999</v>
      </c>
      <c r="H36" s="24">
        <f t="shared" si="12"/>
        <v>999</v>
      </c>
      <c r="I36" s="24">
        <f t="shared" si="12"/>
        <v>8.6999999999999993</v>
      </c>
      <c r="J36" s="24">
        <f t="shared" si="12"/>
        <v>9</v>
      </c>
      <c r="K36" s="24">
        <f t="shared" si="12"/>
        <v>999</v>
      </c>
      <c r="L36" s="24">
        <f t="shared" si="12"/>
        <v>19.899999999999999</v>
      </c>
      <c r="M36" s="24">
        <f t="shared" si="12"/>
        <v>999</v>
      </c>
      <c r="N36" s="24">
        <f t="shared" si="12"/>
        <v>12</v>
      </c>
      <c r="O36" s="24">
        <f t="shared" si="12"/>
        <v>35</v>
      </c>
      <c r="P36" s="23"/>
    </row>
    <row r="38" spans="1:16" ht="15.6" x14ac:dyDescent="0.4">
      <c r="A38" s="25" t="s">
        <v>66</v>
      </c>
    </row>
    <row r="39" spans="1:16" ht="15.6" x14ac:dyDescent="0.4">
      <c r="A39" s="25" t="s">
        <v>67</v>
      </c>
    </row>
    <row r="40" spans="1:16" ht="15.6" x14ac:dyDescent="0.4">
      <c r="A40" s="25" t="s">
        <v>68</v>
      </c>
    </row>
    <row r="41" spans="1:16" ht="15.6" x14ac:dyDescent="0.4">
      <c r="A41" s="25" t="s">
        <v>69</v>
      </c>
    </row>
  </sheetData>
  <mergeCells count="18">
    <mergeCell ref="A34:A36"/>
    <mergeCell ref="A7:A10"/>
    <mergeCell ref="A13:A16"/>
    <mergeCell ref="A19:A22"/>
    <mergeCell ref="A25:A26"/>
    <mergeCell ref="A27:A30"/>
    <mergeCell ref="L4:O4"/>
    <mergeCell ref="D5:E5"/>
    <mergeCell ref="F5:G5"/>
    <mergeCell ref="H5:I5"/>
    <mergeCell ref="J5:K5"/>
    <mergeCell ref="L5:M5"/>
    <mergeCell ref="N5:O5"/>
    <mergeCell ref="A4:A6"/>
    <mergeCell ref="B4:B6"/>
    <mergeCell ref="C4:C6"/>
    <mergeCell ref="D4:G4"/>
    <mergeCell ref="H4:K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 Data FINAL v3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Louis Penrod</cp:lastModifiedBy>
  <cp:revision>1</cp:revision>
  <dcterms:created xsi:type="dcterms:W3CDTF">2026-10-03T21:18:51Z</dcterms:created>
  <dcterms:modified xsi:type="dcterms:W3CDTF">2026-10-03T21:26:10Z</dcterms:modified>
  <dc:language>en-US</dc:language>
</cp:coreProperties>
</file>